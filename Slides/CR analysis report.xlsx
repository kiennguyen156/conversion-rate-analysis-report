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 sánh phễu" sheetId="1" r:id="rId5"/>
    <sheet state="visible" name="So sánh landing page trên mobil" sheetId="2" r:id="rId6"/>
    <sheet state="visible" name="So sánh tỷ lệ chốt đơn theo thi" sheetId="3" r:id="rId7"/>
    <sheet state="visible" name="So sánh tỷ lệ chốt đơn theo tra" sheetId="4" r:id="rId8"/>
    <sheet state="visible" name="Dự phóng doanh thu" sheetId="5" r:id="rId9"/>
  </sheets>
  <definedNames/>
  <calcPr/>
</workbook>
</file>

<file path=xl/sharedStrings.xml><?xml version="1.0" encoding="utf-8"?>
<sst xmlns="http://schemas.openxmlformats.org/spreadsheetml/2006/main" count="89" uniqueCount="51">
  <si>
    <t>Trang</t>
  </si>
  <si>
    <t>Khoảng trống</t>
  </si>
  <si>
    <t>Desktop</t>
  </si>
  <si>
    <t>%</t>
  </si>
  <si>
    <t>Mobile</t>
  </si>
  <si>
    <t>Landed</t>
  </si>
  <si>
    <t>Product Views</t>
  </si>
  <si>
    <t>Add to Carts</t>
  </si>
  <si>
    <t>Checkouts</t>
  </si>
  <si>
    <t>Purchases</t>
  </si>
  <si>
    <t>landing_page</t>
  </si>
  <si>
    <t>/home</t>
  </si>
  <si>
    <t>/lander-1</t>
  </si>
  <si>
    <t>/lander-2</t>
  </si>
  <si>
    <t>/lander-3</t>
  </si>
  <si>
    <t>Landing Page</t>
  </si>
  <si>
    <t>Traffic (Landed)</t>
  </si>
  <si>
    <t>View Rate (%)</t>
  </si>
  <si>
    <t>0. Landed</t>
  </si>
  <si>
    <t>1. Product Views</t>
  </si>
  <si>
    <t>2. Add to Carts</t>
  </si>
  <si>
    <t>3. Checkouts</t>
  </si>
  <si>
    <t>4. Purchases (Orders)</t>
  </si>
  <si>
    <t>Root: Overall CR (%)</t>
  </si>
  <si>
    <t>Nhánh 1: View Rate (%)</t>
  </si>
  <si>
    <t>Nhánh 2: Add-to-cart Rate (%)</t>
  </si>
  <si>
    <t>Nhánh 3: Checkout Rate (%)</t>
  </si>
  <si>
    <t>Nhánh 4: Purchase Rate (%)</t>
  </si>
  <si>
    <t>Trang Checkout</t>
  </si>
  <si>
    <t>Device</t>
  </si>
  <si>
    <t>1. Lượng truy cập (Volume)</t>
  </si>
  <si>
    <t>2. Số đơn thành công (Orders)</t>
  </si>
  <si>
    <t>3. Lượng rơi rụng (Drop-offs)</t>
  </si>
  <si>
    <t>4. Tỷ lệ ra đơn (Purchase Rate %)</t>
  </si>
  <si>
    <t>/shipping</t>
  </si>
  <si>
    <t>desktop</t>
  </si>
  <si>
    <t>/billing</t>
  </si>
  <si>
    <t>/billing-2</t>
  </si>
  <si>
    <t>mobile</t>
  </si>
  <si>
    <t>Thiết bị (Device)</t>
  </si>
  <si>
    <t>Phiên bản Thanh toán</t>
  </si>
  <si>
    <t>Số đơn thành công</t>
  </si>
  <si>
    <t>Tổng Doanh thu</t>
  </si>
  <si>
    <t>AOV (Giá trị TB/Đơn)</t>
  </si>
  <si>
    <t>Số SP TB/Đơn</t>
  </si>
  <si>
    <t>Lợi nhuận TB/Đơn</t>
  </si>
  <si>
    <t>Hạng mục</t>
  </si>
  <si>
    <t>Giá trị</t>
  </si>
  <si>
    <t>Doanh thu từ /billling</t>
  </si>
  <si>
    <t>Tăng trưởng từ desktop</t>
  </si>
  <si>
    <t>Tăng trưởng từ mobile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</si>
</sst>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&quot;$&quot;#,##0"/>
    <numFmt numFmtId="166" formatCode="+&quot;$&quot;#,##0"/>
  </numFmts>
  <fonts count="7">
    <font>
      <sz val="10.0"/>
      <color rgb="FF000000"/>
      <name val="Arial"/>
      <scheme val="minor"/>
    </font>
    <font>
      <sz val="12.0"/>
      <color rgb="FF1F1F1F"/>
      <name val="Arial"/>
      <scheme val="minor"/>
    </font>
    <font>
      <sz val="12.0"/>
      <color theme="1"/>
      <name val="Arial"/>
      <scheme val="minor"/>
    </font>
    <font>
      <sz val="13.0"/>
      <color theme="1"/>
      <name val="Arial"/>
      <scheme val="minor"/>
    </font>
    <font>
      <color theme="1"/>
      <name val="Be Vietnam Pro"/>
    </font>
    <font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3" numFmtId="10" xfId="0" applyAlignment="1" applyFont="1" applyNumberFormat="1">
      <alignment readingOrder="0"/>
    </xf>
    <xf borderId="0" fillId="0" fontId="2" numFmtId="10" xfId="0" applyFont="1" applyNumberFormat="1"/>
    <xf borderId="0" fillId="0" fontId="4" numFmtId="0" xfId="0" applyFont="1"/>
    <xf borderId="0" fillId="0" fontId="2" numFmtId="0" xfId="0" applyFont="1"/>
    <xf borderId="1" fillId="0" fontId="2" numFmtId="0" xfId="0" applyAlignment="1" applyBorder="1" applyFont="1">
      <alignment readingOrder="0"/>
    </xf>
    <xf borderId="1" fillId="0" fontId="2" numFmtId="10" xfId="0" applyAlignment="1" applyBorder="1" applyFont="1" applyNumberFormat="1">
      <alignment readingOrder="0"/>
    </xf>
    <xf borderId="0" fillId="0" fontId="5" numFmtId="0" xfId="0" applyAlignment="1" applyFont="1">
      <alignment readingOrder="0"/>
    </xf>
    <xf borderId="1" fillId="0" fontId="5" numFmtId="0" xfId="0" applyAlignment="1" applyBorder="1" applyFont="1">
      <alignment readingOrder="0"/>
    </xf>
    <xf borderId="1" fillId="0" fontId="5" numFmtId="10" xfId="0" applyAlignment="1" applyBorder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0" fontId="5" numFmtId="164" xfId="0" applyFont="1" applyNumberFormat="1"/>
    <xf borderId="0" fillId="0" fontId="5" numFmtId="165" xfId="0" applyAlignment="1" applyFont="1" applyNumberFormat="1">
      <alignment readingOrder="0"/>
    </xf>
    <xf borderId="0" fillId="0" fontId="5" numFmtId="166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165" xfId="0" applyAlignment="1" applyFont="1" applyNumberFormat="1">
      <alignment readingOrder="0"/>
    </xf>
    <xf borderId="0" fillId="0" fontId="6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Desktop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'So sánh phễu'!$B$1</c:f>
            </c:strRef>
          </c:tx>
          <c:spPr>
            <a:solidFill>
              <a:srgbClr val="FFFFFF">
                <a:alpha val="0"/>
              </a:srgbClr>
            </a:solidFill>
            <a:ln cmpd="sng">
              <a:noFill/>
              <a:prstDash val="dash"/>
            </a:ln>
          </c:spPr>
          <c:cat>
            <c:strRef>
              <c:f>'So sánh phễu'!$A$2:$A$6</c:f>
            </c:strRef>
          </c:cat>
          <c:val>
            <c:numRef>
              <c:f>'So sánh phễu'!$B$2:$B$6</c:f>
              <c:numCache/>
            </c:numRef>
          </c:val>
        </c:ser>
        <c:ser>
          <c:idx val="1"/>
          <c:order val="1"/>
          <c:tx>
            <c:strRef>
              <c:f>'So sánh phễu'!$C$1</c:f>
            </c:strRef>
          </c:tx>
          <c:spPr>
            <a:solidFill>
              <a:srgbClr val="6D9EEB"/>
            </a:solidFill>
            <a:ln cmpd="sng">
              <a:noFill/>
            </a:ln>
          </c:spPr>
          <c:cat>
            <c:strRef>
              <c:f>'So sánh phễu'!$A$2:$A$6</c:f>
            </c:strRef>
          </c:cat>
          <c:val>
            <c:numRef>
              <c:f>'So sánh phễu'!$C$2:$C$6</c:f>
              <c:numCache/>
            </c:numRef>
          </c:val>
        </c:ser>
        <c:ser>
          <c:idx val="2"/>
          <c:order val="2"/>
          <c:tx>
            <c:strRef>
              <c:f>'So sánh phễu'!$D$1</c:f>
            </c:strRef>
          </c:tx>
          <c:cat>
            <c:strRef>
              <c:f>'So sánh phễu'!$A$2:$A$6</c:f>
            </c:strRef>
          </c:cat>
          <c:val>
            <c:numRef>
              <c:f>'So sánh phễu'!$D$2:$D$6</c:f>
              <c:numCache/>
            </c:numRef>
          </c:val>
        </c:ser>
        <c:overlap val="100"/>
        <c:axId val="1350117411"/>
        <c:axId val="367093443"/>
      </c:barChart>
      <c:catAx>
        <c:axId val="13501174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7093443"/>
      </c:catAx>
      <c:valAx>
        <c:axId val="367093443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CR vs. previous step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350117411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Mobile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'So sánh phễu'!$H$1</c:f>
            </c:strRef>
          </c:tx>
          <c:spPr>
            <a:solidFill>
              <a:srgbClr val="FFFFFF"/>
            </a:solidFill>
            <a:ln cmpd="sng">
              <a:noFill/>
            </a:ln>
          </c:spPr>
          <c:cat>
            <c:strRef>
              <c:f>'So sánh phễu'!$G$2:$G$6</c:f>
            </c:strRef>
          </c:cat>
          <c:val>
            <c:numRef>
              <c:f>'So sánh phễu'!$H$2:$H$6</c:f>
              <c:numCache/>
            </c:numRef>
          </c:val>
        </c:ser>
        <c:ser>
          <c:idx val="1"/>
          <c:order val="1"/>
          <c:tx>
            <c:strRef>
              <c:f>'So sánh phễu'!$I$1</c:f>
            </c:strRef>
          </c:tx>
          <c:spPr>
            <a:solidFill>
              <a:srgbClr val="E06666"/>
            </a:solidFill>
            <a:ln cmpd="sng">
              <a:noFill/>
            </a:ln>
          </c:spPr>
          <c:cat>
            <c:strRef>
              <c:f>'So sánh phễu'!$G$2:$G$6</c:f>
            </c:strRef>
          </c:cat>
          <c:val>
            <c:numRef>
              <c:f>'So sánh phễu'!$I$2:$I$6</c:f>
              <c:numCache/>
            </c:numRef>
          </c:val>
        </c:ser>
        <c:ser>
          <c:idx val="2"/>
          <c:order val="2"/>
          <c:tx>
            <c:strRef>
              <c:f>'So sánh phễu'!$J$1</c:f>
            </c:strRef>
          </c:tx>
          <c:cat>
            <c:strRef>
              <c:f>'So sánh phễu'!$G$2:$G$6</c:f>
            </c:strRef>
          </c:cat>
          <c:val>
            <c:numRef>
              <c:f>'So sánh phễu'!$J$2:$J$6</c:f>
              <c:numCache/>
            </c:numRef>
          </c:val>
        </c:ser>
        <c:overlap val="100"/>
        <c:axId val="1879996681"/>
        <c:axId val="1599487289"/>
      </c:barChart>
      <c:catAx>
        <c:axId val="187999668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9487289"/>
      </c:catAx>
      <c:valAx>
        <c:axId val="1599487289"/>
        <c:scaling>
          <c:orientation val="minMax"/>
          <c:max val="151000.0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CR vs. previous step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879996681"/>
        <c:crosses val="max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'So sánh landing page trên mobil'!$H$1</c:f>
            </c:strRef>
          </c:tx>
          <c:spPr>
            <a:solidFill>
              <a:srgbClr val="6D9EEB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'So sánh landing page trên mobil'!$G$2:$G$5</c:f>
            </c:strRef>
          </c:cat>
          <c:val>
            <c:numRef>
              <c:f>'So sánh landing page trên mobil'!$H$2:$H$5</c:f>
              <c:numCache/>
            </c:numRef>
          </c:val>
        </c:ser>
        <c:axId val="653434723"/>
        <c:axId val="1836441409"/>
      </c:barChart>
      <c:catAx>
        <c:axId val="6534347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6441409"/>
      </c:catAx>
      <c:valAx>
        <c:axId val="183644140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653434723"/>
      </c:valAx>
      <c:lineChart>
        <c:varyColors val="0"/>
        <c:ser>
          <c:idx val="1"/>
          <c:order val="1"/>
          <c:tx>
            <c:strRef>
              <c:f>'So sánh landing page trên mobil'!$I$1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Pt>
            <c:idx val="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'So sánh landing page trên mobil'!$G$2:$G$5</c:f>
            </c:strRef>
          </c:cat>
          <c:val>
            <c:numRef>
              <c:f>'So sánh landing page trên mobil'!$I$2:$I$5</c:f>
              <c:numCache/>
            </c:numRef>
          </c:val>
          <c:smooth val="0"/>
        </c:ser>
        <c:axId val="920907635"/>
        <c:axId val="499353095"/>
      </c:lineChart>
      <c:catAx>
        <c:axId val="9209076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9353095"/>
      </c:catAx>
      <c:valAx>
        <c:axId val="49935309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920907635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'So sánh tỷ lệ chốt đơn theo thi'!$B$9</c:f>
            </c:strRef>
          </c:tx>
          <c:spPr>
            <a:solidFill>
              <a:srgbClr val="A4C2F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'So sánh tỷ lệ chốt đơn theo thi'!$A$10:$A$12</c:f>
            </c:strRef>
          </c:cat>
          <c:val>
            <c:numRef>
              <c:f>'So sánh tỷ lệ chốt đơn theo thi'!$B$10:$B$12</c:f>
              <c:numCache/>
            </c:numRef>
          </c:val>
        </c:ser>
        <c:ser>
          <c:idx val="1"/>
          <c:order val="1"/>
          <c:tx>
            <c:strRef>
              <c:f>'So sánh tỷ lệ chốt đơn theo thi'!$C$9</c:f>
            </c:strRef>
          </c:tx>
          <c:spPr>
            <a:solidFill>
              <a:srgbClr val="DD7E6B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'So sánh tỷ lệ chốt đơn theo thi'!$A$10:$A$12</c:f>
            </c:strRef>
          </c:cat>
          <c:val>
            <c:numRef>
              <c:f>'So sánh tỷ lệ chốt đơn theo thi'!$C$10:$C$12</c:f>
              <c:numCache/>
            </c:numRef>
          </c:val>
        </c:ser>
        <c:axId val="1927671290"/>
        <c:axId val="1964274113"/>
      </c:barChart>
      <c:catAx>
        <c:axId val="19276712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Trang Checkout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4274113"/>
      </c:catAx>
      <c:valAx>
        <c:axId val="196427411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9276712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'So sánh tỷ lệ chốt đơn theo tra'!$B$7</c:f>
            </c:strRef>
          </c:tx>
          <c:spPr>
            <a:solidFill>
              <a:srgbClr val="6D9EEB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'So sánh tỷ lệ chốt đơn theo tra'!$A$8:$A$9</c:f>
            </c:strRef>
          </c:cat>
          <c:val>
            <c:numRef>
              <c:f>'So sánh tỷ lệ chốt đơn theo tra'!$B$8:$B$9</c:f>
              <c:numCache/>
            </c:numRef>
          </c:val>
        </c:ser>
        <c:ser>
          <c:idx val="1"/>
          <c:order val="1"/>
          <c:tx>
            <c:strRef>
              <c:f>'So sánh tỷ lệ chốt đơn theo tra'!$C$7</c:f>
            </c:strRef>
          </c:tx>
          <c:spPr>
            <a:solidFill>
              <a:srgbClr val="E06666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'So sánh tỷ lệ chốt đơn theo tra'!$A$8:$A$9</c:f>
            </c:strRef>
          </c:cat>
          <c:val>
            <c:numRef>
              <c:f>'So sánh tỷ lệ chốt đơn theo tra'!$C$8:$C$9</c:f>
              <c:numCache/>
            </c:numRef>
          </c:val>
        </c:ser>
        <c:axId val="55730138"/>
        <c:axId val="2011468131"/>
      </c:barChart>
      <c:catAx>
        <c:axId val="557301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Trang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1468131"/>
      </c:catAx>
      <c:valAx>
        <c:axId val="201146813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557301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8</xdr:row>
      <xdr:rowOff>114300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609600</xdr:colOff>
      <xdr:row>8</xdr:row>
      <xdr:rowOff>114300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6</xdr:row>
      <xdr:rowOff>142875</xdr:rowOff>
    </xdr:from>
    <xdr:ext cx="5924550" cy="36671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114300</xdr:colOff>
      <xdr:row>8</xdr:row>
      <xdr:rowOff>123825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7</xdr:row>
      <xdr:rowOff>66675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</xdr:colOff>
      <xdr:row>2</xdr:row>
      <xdr:rowOff>38100</xdr:rowOff>
    </xdr:from>
    <xdr:ext cx="5715000" cy="3533775"/>
    <xdr:pic>
      <xdr:nvPicPr>
        <xdr:cNvPr id="310373176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7" max="7" width="20.63"/>
    <col customWidth="1" min="8" max="8" width="13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G1" s="1" t="s">
        <v>0</v>
      </c>
      <c r="H1" s="1" t="s">
        <v>1</v>
      </c>
      <c r="I1" s="1" t="s">
        <v>4</v>
      </c>
      <c r="J1" s="2" t="s">
        <v>3</v>
      </c>
    </row>
    <row r="2">
      <c r="A2" s="1" t="s">
        <v>5</v>
      </c>
      <c r="B2" s="1">
        <f t="shared" ref="B2:B6" si="1">($C$2 - C2) / 2</f>
        <v>0</v>
      </c>
      <c r="C2" s="1">
        <v>327027.0</v>
      </c>
      <c r="D2" s="3">
        <v>1.0</v>
      </c>
      <c r="G2" s="1" t="s">
        <v>5</v>
      </c>
      <c r="H2" s="1">
        <f t="shared" ref="H2:H6" si="2">($I$2 - I2) / 2</f>
        <v>0</v>
      </c>
      <c r="I2" s="1">
        <v>145844.0</v>
      </c>
      <c r="J2" s="4">
        <v>1.0</v>
      </c>
    </row>
    <row r="3">
      <c r="A3" s="1" t="s">
        <v>6</v>
      </c>
      <c r="B3" s="1">
        <f t="shared" si="1"/>
        <v>81906.5</v>
      </c>
      <c r="C3" s="1">
        <v>163214.0</v>
      </c>
      <c r="D3" s="5">
        <f t="shared" ref="D3:D6" si="3">C3/C2</f>
        <v>0.4990841735</v>
      </c>
      <c r="G3" s="1" t="s">
        <v>6</v>
      </c>
      <c r="H3" s="1">
        <f t="shared" si="2"/>
        <v>49422</v>
      </c>
      <c r="I3" s="1">
        <v>47000.0</v>
      </c>
      <c r="J3" s="5">
        <f t="shared" ref="J3:J6" si="4">I3/I2</f>
        <v>0.3222621431</v>
      </c>
    </row>
    <row r="4">
      <c r="A4" s="1" t="s">
        <v>7</v>
      </c>
      <c r="B4" s="1">
        <f t="shared" si="1"/>
        <v>125936</v>
      </c>
      <c r="C4" s="1">
        <v>75155.0</v>
      </c>
      <c r="D4" s="5">
        <f t="shared" si="3"/>
        <v>0.4604690774</v>
      </c>
      <c r="G4" s="1" t="s">
        <v>7</v>
      </c>
      <c r="H4" s="1">
        <f t="shared" si="2"/>
        <v>63023</v>
      </c>
      <c r="I4" s="1">
        <v>19798.0</v>
      </c>
      <c r="J4" s="5">
        <f t="shared" si="4"/>
        <v>0.4212340426</v>
      </c>
    </row>
    <row r="5">
      <c r="A5" s="1" t="s">
        <v>8</v>
      </c>
      <c r="B5" s="1">
        <f t="shared" si="1"/>
        <v>137167.5</v>
      </c>
      <c r="C5" s="1">
        <v>52692.0</v>
      </c>
      <c r="D5" s="5">
        <f t="shared" si="3"/>
        <v>0.7011110372</v>
      </c>
      <c r="G5" s="1" t="s">
        <v>8</v>
      </c>
      <c r="H5" s="1">
        <f t="shared" si="2"/>
        <v>67026</v>
      </c>
      <c r="I5" s="1">
        <v>11792.0</v>
      </c>
      <c r="J5" s="5">
        <f t="shared" si="4"/>
        <v>0.5956157188</v>
      </c>
    </row>
    <row r="6">
      <c r="A6" s="1" t="s">
        <v>9</v>
      </c>
      <c r="B6" s="1">
        <f t="shared" si="1"/>
        <v>149611</v>
      </c>
      <c r="C6" s="1">
        <v>27805.0</v>
      </c>
      <c r="D6" s="5">
        <f t="shared" si="3"/>
        <v>0.5276892128</v>
      </c>
      <c r="G6" s="1" t="s">
        <v>9</v>
      </c>
      <c r="H6" s="1">
        <f t="shared" si="2"/>
        <v>70668</v>
      </c>
      <c r="I6" s="1">
        <v>4508.0</v>
      </c>
      <c r="J6" s="5">
        <f t="shared" si="4"/>
        <v>0.3822930801</v>
      </c>
    </row>
    <row r="8">
      <c r="G8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7" max="7" width="13.38"/>
    <col customWidth="1" min="8" max="8" width="15.0"/>
    <col customWidth="1" min="9" max="9" width="13.75"/>
  </cols>
  <sheetData>
    <row r="1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7"/>
      <c r="G1" s="8" t="s">
        <v>15</v>
      </c>
      <c r="H1" s="8" t="s">
        <v>16</v>
      </c>
      <c r="I1" s="8" t="s">
        <v>17</v>
      </c>
    </row>
    <row r="2">
      <c r="A2" s="2" t="s">
        <v>18</v>
      </c>
      <c r="B2" s="2">
        <v>50313.0</v>
      </c>
      <c r="C2" s="2">
        <v>10114.0</v>
      </c>
      <c r="D2" s="2">
        <v>6417.0</v>
      </c>
      <c r="E2" s="2">
        <v>79000.0</v>
      </c>
      <c r="F2" s="7"/>
      <c r="G2" s="8" t="s">
        <v>14</v>
      </c>
      <c r="H2" s="2">
        <f t="shared" ref="H2:H5" si="1">XLOOKUP(G2,$1:$1,$2:$2)</f>
        <v>79000</v>
      </c>
      <c r="I2" s="9">
        <f t="array" ref="I2">XLOOKUP(G2, $A$1:$E$1, ($A$3:$E$3 / $A$2:$E$2))</f>
        <v>0.3452025316</v>
      </c>
    </row>
    <row r="3">
      <c r="A3" s="2" t="s">
        <v>19</v>
      </c>
      <c r="B3" s="2">
        <v>15946.0</v>
      </c>
      <c r="C3" s="2">
        <v>2074.0</v>
      </c>
      <c r="D3" s="2">
        <v>1709.0</v>
      </c>
      <c r="E3" s="2">
        <v>27271.0</v>
      </c>
      <c r="F3" s="7"/>
      <c r="G3" s="2" t="s">
        <v>11</v>
      </c>
      <c r="H3" s="2">
        <f t="shared" si="1"/>
        <v>50313</v>
      </c>
      <c r="I3" s="9">
        <f t="array" ref="I3">XLOOKUP(G3, $A$1:$E$1, ($A$3:$E$3 / $A$2:$E$2))</f>
        <v>0.3169359808</v>
      </c>
    </row>
    <row r="4">
      <c r="A4" s="2" t="s">
        <v>20</v>
      </c>
      <c r="B4" s="2">
        <v>6745.0</v>
      </c>
      <c r="C4" s="2">
        <v>844.0</v>
      </c>
      <c r="D4" s="2">
        <v>715.0</v>
      </c>
      <c r="E4" s="2">
        <v>11494.0</v>
      </c>
      <c r="F4" s="7"/>
      <c r="G4" s="2" t="s">
        <v>12</v>
      </c>
      <c r="H4" s="2">
        <f t="shared" si="1"/>
        <v>10114</v>
      </c>
      <c r="I4" s="9">
        <f t="array" ref="I4">XLOOKUP(G4, $A$1:$E$1, ($A$3:$E$3 / $A$2:$E$2))</f>
        <v>0.2050622899</v>
      </c>
    </row>
    <row r="5">
      <c r="A5" s="2" t="s">
        <v>21</v>
      </c>
      <c r="B5" s="2">
        <v>4043.0</v>
      </c>
      <c r="C5" s="2">
        <v>529.0</v>
      </c>
      <c r="D5" s="2">
        <v>430.0</v>
      </c>
      <c r="E5" s="2">
        <v>6790.0</v>
      </c>
      <c r="F5" s="7"/>
      <c r="G5" s="8" t="s">
        <v>13</v>
      </c>
      <c r="H5" s="2">
        <f t="shared" si="1"/>
        <v>6417</v>
      </c>
      <c r="I5" s="9">
        <f t="array" ref="I5">XLOOKUP(G5, $A$1:$E$1, ($A$3:$E$3 / $A$2:$E$2))</f>
        <v>0.2663238273</v>
      </c>
    </row>
    <row r="6">
      <c r="A6" s="2" t="s">
        <v>22</v>
      </c>
      <c r="B6" s="2">
        <v>1489.0</v>
      </c>
      <c r="C6" s="2">
        <v>160.0</v>
      </c>
      <c r="D6" s="2">
        <v>180.0</v>
      </c>
      <c r="E6" s="2">
        <v>2679.0</v>
      </c>
      <c r="F6" s="7"/>
      <c r="G6" s="7"/>
      <c r="H6" s="7"/>
      <c r="I6" s="7"/>
    </row>
    <row r="7">
      <c r="A7" s="2" t="s">
        <v>23</v>
      </c>
      <c r="B7" s="2">
        <v>2.96</v>
      </c>
      <c r="C7" s="2">
        <v>1.58</v>
      </c>
      <c r="D7" s="2">
        <v>2.81</v>
      </c>
      <c r="E7" s="2">
        <v>3.39</v>
      </c>
      <c r="F7" s="7"/>
      <c r="G7" s="7"/>
      <c r="H7" s="7"/>
      <c r="I7" s="7"/>
    </row>
    <row r="8">
      <c r="A8" s="2" t="s">
        <v>24</v>
      </c>
      <c r="B8" s="2">
        <v>31.69</v>
      </c>
      <c r="C8" s="2">
        <v>20.51</v>
      </c>
      <c r="D8" s="2">
        <v>26.63</v>
      </c>
      <c r="E8" s="2">
        <v>34.52</v>
      </c>
      <c r="F8" s="7"/>
      <c r="G8" s="7"/>
      <c r="H8" s="7"/>
      <c r="I8" s="7"/>
    </row>
    <row r="9">
      <c r="A9" s="2" t="s">
        <v>25</v>
      </c>
      <c r="B9" s="2">
        <v>42.3</v>
      </c>
      <c r="C9" s="2">
        <v>40.69</v>
      </c>
      <c r="D9" s="2">
        <v>41.84</v>
      </c>
      <c r="E9" s="2">
        <v>42.15</v>
      </c>
      <c r="F9" s="7"/>
      <c r="G9" s="7"/>
      <c r="H9" s="7"/>
      <c r="I9" s="7"/>
    </row>
    <row r="10">
      <c r="A10" s="2" t="s">
        <v>26</v>
      </c>
      <c r="B10" s="2">
        <v>59.94</v>
      </c>
      <c r="C10" s="2">
        <v>62.68</v>
      </c>
      <c r="D10" s="2">
        <v>60.14</v>
      </c>
      <c r="E10" s="2">
        <v>59.07</v>
      </c>
      <c r="F10" s="7"/>
      <c r="G10" s="7"/>
      <c r="H10" s="7"/>
      <c r="I10" s="7"/>
    </row>
    <row r="11">
      <c r="A11" s="2" t="s">
        <v>27</v>
      </c>
      <c r="B11" s="2">
        <v>36.83</v>
      </c>
      <c r="C11" s="2">
        <v>30.25</v>
      </c>
      <c r="D11" s="2">
        <v>41.86</v>
      </c>
      <c r="E11" s="2">
        <v>39.46</v>
      </c>
      <c r="F11" s="7"/>
      <c r="G11" s="7"/>
      <c r="H11" s="7"/>
      <c r="I11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3" width="23.63"/>
    <col customWidth="1" min="4" max="4" width="22.5"/>
    <col customWidth="1" min="5" max="6" width="26.38"/>
  </cols>
  <sheetData>
    <row r="1">
      <c r="A1" s="10" t="s">
        <v>28</v>
      </c>
      <c r="B1" s="10" t="s">
        <v>29</v>
      </c>
      <c r="C1" s="10" t="s">
        <v>30</v>
      </c>
      <c r="D1" s="10" t="s">
        <v>31</v>
      </c>
      <c r="E1" s="10" t="s">
        <v>32</v>
      </c>
      <c r="F1" s="10" t="s">
        <v>33</v>
      </c>
    </row>
    <row r="2">
      <c r="A2" s="10" t="s">
        <v>34</v>
      </c>
      <c r="B2" s="10" t="s">
        <v>35</v>
      </c>
      <c r="C2" s="10">
        <v>52692.0</v>
      </c>
      <c r="D2" s="10">
        <v>27805.0</v>
      </c>
      <c r="E2" s="10">
        <v>24887.0</v>
      </c>
      <c r="F2" s="10">
        <v>0.5277</v>
      </c>
    </row>
    <row r="3">
      <c r="A3" s="10" t="s">
        <v>36</v>
      </c>
      <c r="B3" s="10" t="s">
        <v>35</v>
      </c>
      <c r="C3" s="10">
        <v>3206.0</v>
      </c>
      <c r="D3" s="10">
        <v>1478.0</v>
      </c>
      <c r="E3" s="10">
        <v>1728.0</v>
      </c>
      <c r="F3" s="10">
        <v>0.461</v>
      </c>
    </row>
    <row r="4">
      <c r="A4" s="10" t="s">
        <v>37</v>
      </c>
      <c r="B4" s="10" t="s">
        <v>35</v>
      </c>
      <c r="C4" s="10">
        <v>40516.0</v>
      </c>
      <c r="D4" s="10">
        <v>26327.0</v>
      </c>
      <c r="E4" s="10">
        <v>14189.0</v>
      </c>
      <c r="F4" s="10">
        <v>0.6498</v>
      </c>
    </row>
    <row r="5">
      <c r="A5" s="10" t="s">
        <v>34</v>
      </c>
      <c r="B5" s="10" t="s">
        <v>38</v>
      </c>
      <c r="C5" s="10">
        <v>11792.0</v>
      </c>
      <c r="D5" s="10">
        <v>4508.0</v>
      </c>
      <c r="E5" s="10">
        <v>7284.0</v>
      </c>
      <c r="F5" s="10">
        <v>0.3823</v>
      </c>
    </row>
    <row r="6">
      <c r="A6" s="10" t="s">
        <v>36</v>
      </c>
      <c r="B6" s="10" t="s">
        <v>38</v>
      </c>
      <c r="C6" s="10">
        <v>411.0</v>
      </c>
      <c r="D6" s="10">
        <v>142.0</v>
      </c>
      <c r="E6" s="10">
        <v>269.0</v>
      </c>
      <c r="F6" s="10">
        <v>0.3455</v>
      </c>
    </row>
    <row r="7">
      <c r="A7" s="10" t="s">
        <v>37</v>
      </c>
      <c r="B7" s="10" t="s">
        <v>38</v>
      </c>
      <c r="C7" s="10">
        <v>7925.0</v>
      </c>
      <c r="D7" s="10">
        <v>4366.0</v>
      </c>
      <c r="E7" s="10">
        <v>3559.0</v>
      </c>
      <c r="F7" s="10">
        <v>0.5509</v>
      </c>
    </row>
    <row r="9">
      <c r="A9" s="11" t="s">
        <v>28</v>
      </c>
      <c r="B9" s="11" t="s">
        <v>2</v>
      </c>
      <c r="C9" s="11" t="s">
        <v>4</v>
      </c>
    </row>
    <row r="10">
      <c r="A10" s="11" t="s">
        <v>34</v>
      </c>
      <c r="B10" s="12">
        <f t="shared" ref="B10:C10" si="1">SUMIFS($F$2:$F$7, $A$2:$A$7, $A10, $B$2:$B$7, B$9)</f>
        <v>0.5277</v>
      </c>
      <c r="C10" s="12">
        <f t="shared" si="1"/>
        <v>0.3823</v>
      </c>
    </row>
    <row r="11">
      <c r="A11" s="11" t="s">
        <v>36</v>
      </c>
      <c r="B11" s="12">
        <f t="shared" ref="B11:C11" si="2">SUMIFS($F$2:$F$7, $A$2:$A$7, $A11, $B$2:$B$7, B$9)</f>
        <v>0.461</v>
      </c>
      <c r="C11" s="12">
        <f t="shared" si="2"/>
        <v>0.3455</v>
      </c>
    </row>
    <row r="12">
      <c r="A12" s="11" t="s">
        <v>37</v>
      </c>
      <c r="B12" s="12">
        <f t="shared" ref="B12:C12" si="3">SUMIFS($F$2:$F$7, $A$2:$A$7, $A12, $B$2:$B$7, B$9)</f>
        <v>0.6498</v>
      </c>
      <c r="C12" s="12">
        <f t="shared" si="3"/>
        <v>0.5509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13"/>
  </cols>
  <sheetData>
    <row r="1">
      <c r="A1" s="10" t="s">
        <v>39</v>
      </c>
      <c r="B1" s="10" t="s">
        <v>40</v>
      </c>
      <c r="C1" s="10" t="s">
        <v>41</v>
      </c>
      <c r="D1" s="10" t="s">
        <v>42</v>
      </c>
      <c r="E1" s="10" t="s">
        <v>43</v>
      </c>
      <c r="F1" s="10" t="s">
        <v>44</v>
      </c>
      <c r="G1" s="10" t="s">
        <v>45</v>
      </c>
    </row>
    <row r="2">
      <c r="A2" s="10" t="s">
        <v>35</v>
      </c>
      <c r="B2" s="10" t="s">
        <v>36</v>
      </c>
      <c r="C2" s="10">
        <v>1478.0</v>
      </c>
      <c r="D2" s="13">
        <v>73885.22</v>
      </c>
      <c r="E2" s="13">
        <v>49.99</v>
      </c>
      <c r="F2" s="10">
        <v>1.0</v>
      </c>
      <c r="G2" s="13">
        <v>30.5</v>
      </c>
    </row>
    <row r="3">
      <c r="A3" s="10" t="s">
        <v>35</v>
      </c>
      <c r="B3" s="10" t="s">
        <v>37</v>
      </c>
      <c r="C3" s="10">
        <v>26327.0</v>
      </c>
      <c r="D3" s="13">
        <v>1591872.62</v>
      </c>
      <c r="E3" s="13">
        <v>60.47</v>
      </c>
      <c r="F3" s="10">
        <v>1.25</v>
      </c>
      <c r="G3" s="13">
        <v>37.98</v>
      </c>
    </row>
    <row r="4">
      <c r="A4" s="10" t="s">
        <v>38</v>
      </c>
      <c r="B4" s="10" t="s">
        <v>36</v>
      </c>
      <c r="C4" s="10">
        <v>142.0</v>
      </c>
      <c r="D4" s="13">
        <v>7098.58</v>
      </c>
      <c r="E4" s="13">
        <v>49.99</v>
      </c>
      <c r="F4" s="10">
        <v>1.0</v>
      </c>
      <c r="G4" s="13">
        <v>30.5</v>
      </c>
    </row>
    <row r="5">
      <c r="A5" s="10" t="s">
        <v>38</v>
      </c>
      <c r="B5" s="10" t="s">
        <v>37</v>
      </c>
      <c r="C5" s="10">
        <v>4366.0</v>
      </c>
      <c r="D5" s="13">
        <v>265653.33</v>
      </c>
      <c r="E5" s="13">
        <v>60.85</v>
      </c>
      <c r="F5" s="10">
        <v>1.25</v>
      </c>
      <c r="G5" s="13">
        <v>38.2</v>
      </c>
    </row>
    <row r="7">
      <c r="A7" s="10" t="s">
        <v>0</v>
      </c>
      <c r="B7" s="10" t="s">
        <v>36</v>
      </c>
      <c r="C7" s="10" t="s">
        <v>37</v>
      </c>
    </row>
    <row r="8">
      <c r="A8" s="10" t="s">
        <v>2</v>
      </c>
      <c r="B8" s="14">
        <f t="shared" ref="B8:C8" si="1">SUMIFS($E$2:$E$5,$A$2:$A$5,$A8,$B$2:$B$5,B$7)</f>
        <v>49.99</v>
      </c>
      <c r="C8" s="14">
        <f t="shared" si="1"/>
        <v>60.47</v>
      </c>
    </row>
    <row r="9">
      <c r="A9" s="10" t="s">
        <v>4</v>
      </c>
      <c r="B9" s="14">
        <f t="shared" ref="B9:C9" si="2">SUMIFS($E$2:$E$5,$A$2:$A$5,$A9,$B$2:$B$5,B$7)</f>
        <v>49.99</v>
      </c>
      <c r="C9" s="14">
        <f t="shared" si="2"/>
        <v>60.85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26.0"/>
    <col customWidth="1" min="3" max="3" width="14.88"/>
    <col customWidth="1" min="4" max="4" width="16.63"/>
    <col customWidth="1" min="5" max="5" width="14.88"/>
    <col customWidth="1" min="6" max="6" width="19.63"/>
  </cols>
  <sheetData>
    <row r="1">
      <c r="A1" s="10" t="s">
        <v>46</v>
      </c>
      <c r="B1" s="10" t="s">
        <v>47</v>
      </c>
    </row>
    <row r="2">
      <c r="A2" s="10" t="s">
        <v>48</v>
      </c>
      <c r="B2" s="15">
        <v>2641.0</v>
      </c>
      <c r="D2" s="15"/>
      <c r="F2" s="15"/>
    </row>
    <row r="3">
      <c r="A3" s="10" t="s">
        <v>49</v>
      </c>
      <c r="B3" s="16">
        <v>1698.256283</v>
      </c>
      <c r="D3" s="15"/>
    </row>
    <row r="4">
      <c r="A4" s="10" t="s">
        <v>50</v>
      </c>
      <c r="B4" s="16">
        <v>217.76574</v>
      </c>
      <c r="D4" s="15"/>
      <c r="F4" s="15"/>
    </row>
    <row r="5">
      <c r="B5" s="15"/>
      <c r="D5" s="15"/>
    </row>
    <row r="7">
      <c r="A7" s="17"/>
      <c r="B7" s="17"/>
    </row>
    <row r="8">
      <c r="A8" s="17"/>
      <c r="B8" s="18"/>
    </row>
    <row r="9">
      <c r="A9" s="17"/>
      <c r="B9" s="19"/>
    </row>
    <row r="10">
      <c r="A10" s="17"/>
      <c r="B10" s="19"/>
    </row>
    <row r="11">
      <c r="A11" s="17"/>
      <c r="B11" s="18"/>
    </row>
    <row r="26">
      <c r="C26" s="15"/>
    </row>
    <row r="29">
      <c r="D29" s="15"/>
    </row>
  </sheetData>
  <drawing r:id="rId1"/>
</worksheet>
</file>